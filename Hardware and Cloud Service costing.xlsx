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esktop\RKDemy Quant Hacks Hackathon\"/>
    </mc:Choice>
  </mc:AlternateContent>
  <xr:revisionPtr revIDLastSave="0" documentId="13_ncr:1_{430A2EF5-72B7-48FB-B6E6-4F80622A650B}" xr6:coauthVersionLast="47" xr6:coauthVersionMax="47" xr10:uidLastSave="{00000000-0000-0000-0000-000000000000}"/>
  <bookViews>
    <workbookView xWindow="-108" yWindow="-108" windowWidth="23256" windowHeight="12456" xr2:uid="{9824CCE6-61CB-4918-B911-FE1B3B6A9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8" i="1"/>
  <c r="C18" i="1"/>
</calcChain>
</file>

<file path=xl/sharedStrings.xml><?xml version="1.0" encoding="utf-8"?>
<sst xmlns="http://schemas.openxmlformats.org/spreadsheetml/2006/main" count="84" uniqueCount="77">
  <si>
    <t>Price</t>
  </si>
  <si>
    <t>Link</t>
  </si>
  <si>
    <t>Sr. No.</t>
  </si>
  <si>
    <t>MuscleGrid</t>
  </si>
  <si>
    <t>Company</t>
  </si>
  <si>
    <t>Specification</t>
  </si>
  <si>
    <t xml:space="preserve">5 kWh Lithium Battery, 100 Ah/48 V </t>
  </si>
  <si>
    <t>2.2 kW Solar Panels</t>
  </si>
  <si>
    <t>Eastman (10Y Warranty)</t>
  </si>
  <si>
    <t>CAML</t>
  </si>
  <si>
    <t>https://www.indiamart.com/proddetail/loom-solar-5-kwh-lithium-battery-100-ah-48-v-charges-in-2-3-hours-maintenance-free-2855717558112.html -</t>
  </si>
  <si>
    <t>https://amzn.in/d/0iKbZBPY</t>
  </si>
  <si>
    <t>https://amzn.in/d/09rXssu4</t>
  </si>
  <si>
    <t>WAAREE</t>
  </si>
  <si>
    <t>https://amzn.in/d/04EqRCgX</t>
  </si>
  <si>
    <t>3 kVA Hybrid Solar Inverter</t>
  </si>
  <si>
    <t>https://www.indiamart.com/proddetail/solar-hybrid-inverter-system-2854622167148.html?pos=5&amp;kwd=hybrid%20solar%20inverter&amp;tags=rk:B|plc:1|dt:0|db:01|prc:1|dtp:p|pfs:1|sv:M|rsf:gd|prv:25000|ri:M_B_0_P|em:0-|-res:RC3|ktp:N0|stype:attr=1|mtp:S|isu:1|wc:4|lcf:3|cq:mumbai|qr_nm:gl-gd|cs:20170|com-cf:nl|ptrs:na|mc:154471|cat:598|qry_typ:P|lang:en|tyr:1|qrd:260331|mrd:260404|prdt:260404|msf:hs|pfen:1|gli:U0G1I1|gc:Thane|ic:Thane|scw:1|emt:3|v=4|crs=city-landing|r=4</t>
  </si>
  <si>
    <t>Statcon Energiaa</t>
  </si>
  <si>
    <t>https://amzn.in/d/0g6n5DsW</t>
  </si>
  <si>
    <t>Luminous</t>
  </si>
  <si>
    <t>BOS (Structure, Wires, Earthing)</t>
  </si>
  <si>
    <t>15,000-20.000</t>
  </si>
  <si>
    <t>Local GI Fabricators</t>
  </si>
  <si>
    <t>JXBS-3001-PH-RS, Soil PH Sensor (RS485)</t>
  </si>
  <si>
    <t>Capacitive Soil Moisture Sensor</t>
  </si>
  <si>
    <t>JXBS-3001-NPK-RS-4, Soil Sensor (RS485) NPK</t>
  </si>
  <si>
    <t>DHT22 AM2302 Digital Temperature &amp; Humidity Sensor Module</t>
  </si>
  <si>
    <t>Componenet Name</t>
  </si>
  <si>
    <t>per component price (in Rs)</t>
  </si>
  <si>
    <t>quantity per 1 acre</t>
  </si>
  <si>
    <t>buying/ referene link</t>
  </si>
  <si>
    <t>ph level</t>
  </si>
  <si>
    <t>moisture level</t>
  </si>
  <si>
    <t>npk</t>
  </si>
  <si>
    <t>temperature</t>
  </si>
  <si>
    <t>Total</t>
  </si>
  <si>
    <t>https://robu.in/product/soil-ph-sensor/#tab-description</t>
  </si>
  <si>
    <t>https://robu.in/product/capacitive-soil-moisture-sensor-v2-0/</t>
  </si>
  <si>
    <t>https://robu.in/product/jxbs-3001-npk-rs-4-soil-sensor/</t>
  </si>
  <si>
    <t>https://robu.in/product/dht22-digital-temperature-humidity-sensor-temperature-humidity-module-am2302/</t>
  </si>
  <si>
    <t>wifi router</t>
  </si>
  <si>
    <t>controller</t>
  </si>
  <si>
    <t>TP-Link EAP225 Outdoor</t>
  </si>
  <si>
    <t>ESP32</t>
  </si>
  <si>
    <t>https://www.moglix.com/tp-link-eap225-ac1200-wireless-mu-mimo-gigabit-indoor-outdoor-access-point/mp/msnm9xy11jpmkj?s_kwcid=AL!10177!3!!!!x!!&amp;utm_source=google&amp;utm_medium=cpc&amp;utm_network=Performance_max&amp;utm_campaign=21123901864&amp;adgroup_id=&amp;keyword=&amp;gad_source=4&amp;gad_campaignid=21113767884&amp;gbraid=0AAAAADgd28OrdWWq4a6iG-8pbMoLwi-RT&amp;gclid=Cj0KCQjw7cLOBhDmARIsAGsuA0nIW58ThmgipuyuqrO147Lor5L0GFsNubWM1S966l6IfLbC9wC-ktgaAmNVEALw_wcB</t>
  </si>
  <si>
    <t>https://robu.in/product/esp32-38pin-development-board-wifibluetooth-ultra-low-power-consumption-dual-core/</t>
  </si>
  <si>
    <t>7 in 1 sensor</t>
  </si>
  <si>
    <t>7 in 1 Soil PH NPK EC Temperature Humidity Sensor Module with RS485 TTL module</t>
  </si>
  <si>
    <t>https://robosap.in/product/7-in-1-soil-ph-npkec-temperature-humidity-sensor-module-with-rs485-ttl-module/?srsltid=AfmBOopQAMTSWKN7CMqrXyevT2-MHzJLku0TNM1_TbteNC8hY5NMUfUk</t>
  </si>
  <si>
    <t>Sensor Type</t>
  </si>
  <si>
    <t>EC2 (Backend)</t>
  </si>
  <si>
    <t>RDS (Database)</t>
  </si>
  <si>
    <t>S3 (Storage)</t>
  </si>
  <si>
    <t>Data Transfer</t>
  </si>
  <si>
    <t>Service Name</t>
  </si>
  <si>
    <t>Monthly Cost (Estimated INR)</t>
  </si>
  <si>
    <t>₹250 - ₹400</t>
  </si>
  <si>
    <t>Amazon (AWS)</t>
  </si>
  <si>
    <t>₹450 - ₹600</t>
  </si>
  <si>
    <t>₹15 - ₹25</t>
  </si>
  <si>
    <t>₹15 - ₹20</t>
  </si>
  <si>
    <t>AWS Shield</t>
  </si>
  <si>
    <t>Total Per User</t>
  </si>
  <si>
    <t>Resource Tier &amp; Storage Spec</t>
  </si>
  <si>
    <r>
      <t>t3.medium</t>
    </r>
    <r>
      <rPr>
        <sz val="11"/>
        <color rgb="FF1F1F1F"/>
        <rFont val="Arial"/>
        <family val="2"/>
      </rPr>
      <t xml:space="preserve"> (Burstable CPU, 4GB RAM, 20GB EBS SSD)</t>
    </r>
  </si>
  <si>
    <r>
      <t>db.t3.medium</t>
    </r>
    <r>
      <rPr>
        <sz val="11"/>
        <color rgb="FF1F1F1F"/>
        <rFont val="Arial"/>
        <family val="2"/>
      </rPr>
      <t xml:space="preserve"> (Single-AZ, 20GB General Purpose SSD)</t>
    </r>
  </si>
  <si>
    <r>
      <t>Standard Object Storage</t>
    </r>
    <r>
      <rPr>
        <sz val="11"/>
        <color rgb="FF1F1F1F"/>
        <rFont val="Arial"/>
        <family val="2"/>
      </rPr>
      <t xml:space="preserve"> (5GB SSD-backed capacity)</t>
    </r>
  </si>
  <si>
    <r>
      <t>Internet Egress</t>
    </r>
    <r>
      <rPr>
        <sz val="11"/>
        <color rgb="FF1F1F1F"/>
        <rFont val="Arial"/>
        <family val="2"/>
      </rPr>
      <t xml:space="preserve"> (Approx. 2GB sensor data/alerts)</t>
    </r>
  </si>
  <si>
    <t>IAM</t>
  </si>
  <si>
    <r>
      <t>Global Identity</t>
    </r>
    <r>
      <rPr>
        <sz val="11"/>
        <color rgb="FF1F1F1F"/>
        <rFont val="Arial"/>
        <family val="2"/>
      </rPr>
      <t xml:space="preserve"> (Per-user access control/roles)</t>
    </r>
  </si>
  <si>
    <r>
      <t>Standard</t>
    </r>
    <r>
      <rPr>
        <sz val="11"/>
        <color rgb="FF1F1F1F"/>
        <rFont val="Arial"/>
        <family val="2"/>
      </rPr>
      <t xml:space="preserve"> (Included DDoS protection)</t>
    </r>
  </si>
  <si>
    <t>Standard Production-Ready Tier</t>
  </si>
  <si>
    <t>SMS Service</t>
  </si>
  <si>
    <r>
      <t>GSM Modem (SIM800L)</t>
    </r>
    <r>
      <rPr>
        <sz val="11"/>
        <color theme="1"/>
        <rFont val="Calibri"/>
        <family val="2"/>
        <scheme val="minor"/>
      </rPr>
      <t xml:space="preserve"> + Python Backend + Raspberry Pi + SIM Card (Offline/Local)</t>
    </r>
  </si>
  <si>
    <t>Self-Hosted</t>
  </si>
  <si>
    <t>₹150 - ₹300 (Prepaid SMS Pack, excluding hardware)</t>
  </si>
  <si>
    <t>₹880 - ₹1,345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</si>
</sst>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sz val="12"/>
      <color rgb="FF0F1111"/>
      <name val="Times New Roman"/>
      <family val="1"/>
    </font>
    <font>
      <sz val="12"/>
      <color rgb="FF161A22"/>
      <name val="Times New Roman"/>
      <family val="1"/>
    </font>
    <font>
      <u/>
      <sz val="12"/>
      <color theme="10"/>
      <name val="Times New Roman"/>
      <family val="1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/>
    <xf numFmtId="3" fontId="3" fillId="0" borderId="0" xfId="0" applyNumberFormat="1" applyFont="1"/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in/d/0g6n5DsW" TargetMode="External"/><Relationship Id="rId3" Type="http://schemas.openxmlformats.org/officeDocument/2006/relationships/hyperlink" Target="https://amzn.in/d/04EqRCgX" TargetMode="External"/><Relationship Id="rId7" Type="http://schemas.openxmlformats.org/officeDocument/2006/relationships/hyperlink" Target="https://amzn.in/d/09rXssu4" TargetMode="External"/><Relationship Id="rId2" Type="http://schemas.openxmlformats.org/officeDocument/2006/relationships/hyperlink" Target="https://amzn.in/d/0iKbZBPY" TargetMode="External"/><Relationship Id="rId1" Type="http://schemas.openxmlformats.org/officeDocument/2006/relationships/hyperlink" Target="https://www.indiamart.com/proddetail/loom-solar-5-kwh-lithium-battery-100-ah-48-v-charges-in-2-3-hours-maintenance-free-2855717558112.html%20-" TargetMode="External"/><Relationship Id="rId6" Type="http://schemas.openxmlformats.org/officeDocument/2006/relationships/hyperlink" Target="https://robu.in/product/jxbs-3001-npk-rs-4-soil-sensor/" TargetMode="External"/><Relationship Id="rId5" Type="http://schemas.openxmlformats.org/officeDocument/2006/relationships/hyperlink" Target="https://robu.in/product/soil-ph-sensor/" TargetMode="External"/><Relationship Id="rId4" Type="http://schemas.openxmlformats.org/officeDocument/2006/relationships/hyperlink" Target="https://robu.in/product/capacitive-soil-moisture-sensor-v2-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7178-EF2A-4794-A558-722D1BD7CE16}">
  <dimension ref="A2:K37"/>
  <sheetViews>
    <sheetView tabSelected="1" topLeftCell="A23" zoomScale="85" zoomScaleNormal="85" workbookViewId="0">
      <selection activeCell="E37" sqref="E37"/>
    </sheetView>
  </sheetViews>
  <sheetFormatPr defaultRowHeight="14.4" x14ac:dyDescent="0.3"/>
  <cols>
    <col min="1" max="1" width="13.6640625" customWidth="1"/>
    <col min="2" max="2" width="32.33203125" customWidth="1"/>
    <col min="3" max="3" width="14.109375" bestFit="1" customWidth="1"/>
    <col min="4" max="4" width="14.88671875" bestFit="1" customWidth="1"/>
    <col min="5" max="5" width="74.44140625" customWidth="1"/>
  </cols>
  <sheetData>
    <row r="2" spans="1:11" ht="15.6" x14ac:dyDescent="0.3">
      <c r="A2" s="2"/>
      <c r="B2" s="2"/>
      <c r="C2" s="2"/>
      <c r="D2" s="2"/>
      <c r="E2" s="2"/>
    </row>
    <row r="3" spans="1:11" ht="18" x14ac:dyDescent="0.35">
      <c r="A3" s="5" t="s">
        <v>2</v>
      </c>
      <c r="B3" s="5" t="s">
        <v>5</v>
      </c>
      <c r="C3" s="5" t="s">
        <v>4</v>
      </c>
      <c r="D3" s="5" t="s">
        <v>0</v>
      </c>
      <c r="E3" s="5" t="s">
        <v>1</v>
      </c>
      <c r="F3" s="3"/>
      <c r="G3" s="3"/>
      <c r="H3" s="3"/>
      <c r="I3" s="3"/>
      <c r="J3" s="3"/>
      <c r="K3" s="3"/>
    </row>
    <row r="4" spans="1:11" ht="31.2" x14ac:dyDescent="0.35">
      <c r="A4" s="5">
        <v>1</v>
      </c>
      <c r="B4" s="6" t="s">
        <v>6</v>
      </c>
      <c r="C4" s="7" t="s">
        <v>3</v>
      </c>
      <c r="D4" s="8">
        <v>65210</v>
      </c>
      <c r="E4" s="9" t="s">
        <v>10</v>
      </c>
      <c r="F4" s="3"/>
      <c r="G4" s="3"/>
      <c r="H4" s="3"/>
      <c r="I4" s="3"/>
      <c r="J4" s="3"/>
      <c r="K4" s="3"/>
    </row>
    <row r="5" spans="1:11" ht="18" x14ac:dyDescent="0.35">
      <c r="A5" s="5"/>
      <c r="B5" s="6"/>
      <c r="C5" s="7" t="s">
        <v>9</v>
      </c>
      <c r="D5" s="8">
        <v>96500</v>
      </c>
      <c r="E5" s="9" t="s">
        <v>11</v>
      </c>
      <c r="F5" s="3"/>
      <c r="G5" s="3"/>
      <c r="H5" s="3"/>
      <c r="I5" s="3"/>
      <c r="J5" s="3"/>
      <c r="K5" s="3"/>
    </row>
    <row r="6" spans="1:11" ht="31.2" x14ac:dyDescent="0.35">
      <c r="A6" s="5">
        <v>2</v>
      </c>
      <c r="B6" s="5" t="s">
        <v>7</v>
      </c>
      <c r="C6" s="7" t="s">
        <v>8</v>
      </c>
      <c r="D6" s="8">
        <v>28756</v>
      </c>
      <c r="E6" s="12" t="s">
        <v>12</v>
      </c>
      <c r="F6" s="3"/>
      <c r="G6" s="3"/>
      <c r="H6" s="3"/>
      <c r="I6" s="3"/>
      <c r="J6" s="3"/>
      <c r="K6" s="3"/>
    </row>
    <row r="7" spans="1:11" ht="18" x14ac:dyDescent="0.35">
      <c r="A7" s="5"/>
      <c r="B7" s="5"/>
      <c r="C7" s="5" t="s">
        <v>13</v>
      </c>
      <c r="D7" s="8">
        <v>46500</v>
      </c>
      <c r="E7" s="9" t="s">
        <v>14</v>
      </c>
      <c r="F7" s="3"/>
      <c r="G7" s="3"/>
      <c r="H7" s="3"/>
      <c r="I7" s="3"/>
      <c r="J7" s="3"/>
      <c r="K7" s="3"/>
    </row>
    <row r="8" spans="1:11" ht="124.8" x14ac:dyDescent="0.35">
      <c r="A8" s="5">
        <v>3</v>
      </c>
      <c r="B8" s="5" t="s">
        <v>15</v>
      </c>
      <c r="C8" s="5" t="s">
        <v>17</v>
      </c>
      <c r="D8" s="8">
        <v>25000</v>
      </c>
      <c r="E8" s="5" t="s">
        <v>16</v>
      </c>
      <c r="F8" s="3"/>
      <c r="G8" s="3"/>
      <c r="H8" s="3"/>
      <c r="I8" s="3"/>
      <c r="J8" s="3"/>
      <c r="K8" s="3"/>
    </row>
    <row r="9" spans="1:11" ht="18" x14ac:dyDescent="0.35">
      <c r="A9" s="10"/>
      <c r="B9" s="10"/>
      <c r="C9" s="7" t="s">
        <v>19</v>
      </c>
      <c r="D9" s="11">
        <v>30579</v>
      </c>
      <c r="E9" s="13" t="s">
        <v>18</v>
      </c>
      <c r="F9" s="3"/>
      <c r="G9" s="3"/>
      <c r="H9" s="3"/>
      <c r="I9" s="3"/>
      <c r="J9" s="3"/>
      <c r="K9" s="3"/>
    </row>
    <row r="10" spans="1:11" ht="18" x14ac:dyDescent="0.35">
      <c r="A10" s="10">
        <v>4</v>
      </c>
      <c r="B10" s="10" t="s">
        <v>20</v>
      </c>
      <c r="C10" s="10"/>
      <c r="D10" s="10" t="s">
        <v>21</v>
      </c>
      <c r="E10" s="10" t="s">
        <v>22</v>
      </c>
      <c r="F10" s="3"/>
      <c r="G10" s="3"/>
      <c r="H10" s="3"/>
      <c r="I10" s="3"/>
      <c r="J10" s="3"/>
      <c r="K10" s="3"/>
    </row>
    <row r="11" spans="1:11" ht="18" x14ac:dyDescent="0.35">
      <c r="A11" s="2" t="s">
        <v>35</v>
      </c>
      <c r="B11" s="3"/>
      <c r="C11" s="3"/>
      <c r="D11" s="4">
        <f>SUM(D4:D9)+(20000)</f>
        <v>312545</v>
      </c>
      <c r="E11" s="3"/>
      <c r="F11" s="3"/>
      <c r="G11" s="3"/>
      <c r="H11" s="3"/>
      <c r="I11" s="3"/>
      <c r="J11" s="3"/>
      <c r="K11" s="3"/>
    </row>
    <row r="12" spans="1:11" ht="18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31.2" x14ac:dyDescent="0.35">
      <c r="A13" s="5" t="s">
        <v>49</v>
      </c>
      <c r="B13" s="5" t="s">
        <v>27</v>
      </c>
      <c r="C13" s="5" t="s">
        <v>28</v>
      </c>
      <c r="D13" s="5" t="s">
        <v>29</v>
      </c>
      <c r="E13" s="5" t="s">
        <v>30</v>
      </c>
      <c r="F13" s="1"/>
      <c r="G13" s="1"/>
      <c r="H13" s="1"/>
      <c r="I13" s="1"/>
      <c r="J13" s="3"/>
      <c r="K13" s="3"/>
    </row>
    <row r="14" spans="1:11" ht="31.2" x14ac:dyDescent="0.35">
      <c r="A14" s="5" t="s">
        <v>31</v>
      </c>
      <c r="B14" s="6" t="s">
        <v>23</v>
      </c>
      <c r="C14" s="7">
        <v>2141</v>
      </c>
      <c r="D14" s="8">
        <v>7</v>
      </c>
      <c r="E14" s="9" t="s">
        <v>36</v>
      </c>
      <c r="F14" s="1"/>
      <c r="G14" s="1"/>
      <c r="H14" s="1"/>
      <c r="I14" s="1"/>
      <c r="J14" s="3"/>
      <c r="K14" s="3"/>
    </row>
    <row r="15" spans="1:11" ht="31.2" x14ac:dyDescent="0.35">
      <c r="A15" s="5" t="s">
        <v>32</v>
      </c>
      <c r="B15" s="6" t="s">
        <v>24</v>
      </c>
      <c r="C15" s="7">
        <v>55</v>
      </c>
      <c r="D15" s="8">
        <v>15</v>
      </c>
      <c r="E15" s="9" t="s">
        <v>37</v>
      </c>
      <c r="F15" s="1"/>
      <c r="G15" s="1"/>
      <c r="H15" s="1"/>
      <c r="I15" s="1"/>
      <c r="J15" s="3"/>
      <c r="K15" s="3"/>
    </row>
    <row r="16" spans="1:11" ht="31.2" x14ac:dyDescent="0.35">
      <c r="A16" s="5" t="s">
        <v>33</v>
      </c>
      <c r="B16" s="5" t="s">
        <v>25</v>
      </c>
      <c r="C16" s="7">
        <v>3115</v>
      </c>
      <c r="D16" s="8">
        <v>4</v>
      </c>
      <c r="E16" s="7" t="s">
        <v>38</v>
      </c>
      <c r="F16" s="1"/>
      <c r="G16" s="1"/>
      <c r="H16" s="1"/>
      <c r="I16" s="1"/>
      <c r="J16" s="3"/>
      <c r="K16" s="3"/>
    </row>
    <row r="17" spans="1:11" ht="46.8" x14ac:dyDescent="0.35">
      <c r="A17" s="5" t="s">
        <v>34</v>
      </c>
      <c r="B17" s="5" t="s">
        <v>26</v>
      </c>
      <c r="C17" s="5">
        <v>107</v>
      </c>
      <c r="D17" s="8">
        <v>1</v>
      </c>
      <c r="E17" s="9" t="s">
        <v>39</v>
      </c>
      <c r="F17" s="1"/>
      <c r="G17" s="1"/>
      <c r="H17" s="1"/>
      <c r="I17" s="1"/>
      <c r="J17" s="3"/>
      <c r="K17" s="3"/>
    </row>
    <row r="18" spans="1:11" ht="18" x14ac:dyDescent="0.35">
      <c r="A18" s="5" t="s">
        <v>35</v>
      </c>
      <c r="B18" s="5"/>
      <c r="C18" s="5">
        <f>SUM(C14:C17)</f>
        <v>5418</v>
      </c>
      <c r="D18" s="8">
        <f>SUM(D14:D17)</f>
        <v>27</v>
      </c>
      <c r="E18" s="5"/>
      <c r="F18" s="1"/>
      <c r="G18" s="1"/>
      <c r="H18" s="1"/>
      <c r="I18" s="1"/>
      <c r="J18" s="3"/>
      <c r="K18" s="3"/>
    </row>
    <row r="19" spans="1:11" ht="18" x14ac:dyDescent="0.35">
      <c r="A19" s="5"/>
      <c r="B19" s="1"/>
      <c r="C19" s="1"/>
      <c r="D19" s="1"/>
      <c r="E19" s="1"/>
      <c r="F19" s="1"/>
      <c r="G19" s="1"/>
      <c r="H19" s="1"/>
      <c r="I19" s="1"/>
      <c r="J19" s="3"/>
      <c r="K19" s="3"/>
    </row>
    <row r="20" spans="1:11" ht="18" x14ac:dyDescent="0.35">
      <c r="A20" s="1"/>
      <c r="B20" s="1"/>
      <c r="C20" s="1"/>
      <c r="D20" s="1"/>
      <c r="E20" s="1"/>
      <c r="F20" s="1"/>
      <c r="G20" s="1"/>
      <c r="H20" s="1"/>
      <c r="I20" s="1"/>
      <c r="J20" s="3"/>
      <c r="K20" s="3"/>
    </row>
    <row r="21" spans="1:11" ht="124.8" x14ac:dyDescent="0.35">
      <c r="A21" s="5" t="s">
        <v>40</v>
      </c>
      <c r="B21" s="5" t="s">
        <v>42</v>
      </c>
      <c r="C21" s="5">
        <v>5000</v>
      </c>
      <c r="D21" s="5">
        <v>1</v>
      </c>
      <c r="E21" s="5" t="s">
        <v>44</v>
      </c>
      <c r="F21" s="1"/>
      <c r="G21" s="1"/>
      <c r="H21" s="1"/>
      <c r="I21" s="1"/>
      <c r="J21" s="3"/>
      <c r="K21" s="3"/>
    </row>
    <row r="22" spans="1:11" ht="31.2" x14ac:dyDescent="0.35">
      <c r="A22" s="5" t="s">
        <v>41</v>
      </c>
      <c r="B22" s="6" t="s">
        <v>43</v>
      </c>
      <c r="C22" s="7">
        <v>378</v>
      </c>
      <c r="D22" s="8">
        <v>1</v>
      </c>
      <c r="E22" s="9" t="s">
        <v>45</v>
      </c>
      <c r="F22" s="1"/>
      <c r="G22" s="1"/>
      <c r="H22" s="1"/>
      <c r="I22" s="1"/>
      <c r="J22" s="3"/>
      <c r="K22" s="3"/>
    </row>
    <row r="23" spans="1:11" ht="18" x14ac:dyDescent="0.35">
      <c r="A23" s="1"/>
      <c r="B23" s="1"/>
      <c r="C23" s="1"/>
      <c r="D23" s="1"/>
      <c r="E23" s="1"/>
      <c r="F23" s="1"/>
      <c r="G23" s="1"/>
      <c r="H23" s="1"/>
      <c r="I23" s="1"/>
      <c r="J23" s="3"/>
      <c r="K23" s="3"/>
    </row>
    <row r="24" spans="1:11" ht="15.6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11" ht="46.8" x14ac:dyDescent="0.3">
      <c r="A25" s="5" t="s">
        <v>46</v>
      </c>
      <c r="B25" s="5" t="s">
        <v>47</v>
      </c>
      <c r="C25" s="5">
        <v>7000</v>
      </c>
      <c r="D25" s="5">
        <v>4</v>
      </c>
      <c r="E25" s="5" t="s">
        <v>48</v>
      </c>
      <c r="F25" s="1"/>
      <c r="G25" s="1"/>
      <c r="H25" s="1"/>
    </row>
    <row r="26" spans="1:11" ht="15.6" x14ac:dyDescent="0.3">
      <c r="A26" s="1"/>
      <c r="B26" s="1"/>
      <c r="C26" s="1"/>
      <c r="D26" s="1"/>
      <c r="E26" s="1"/>
      <c r="F26" s="1"/>
      <c r="G26" s="1"/>
      <c r="H26" s="1"/>
      <c r="I26" s="1"/>
    </row>
    <row r="29" spans="1:11" ht="46.8" x14ac:dyDescent="0.3">
      <c r="A29" s="5" t="s">
        <v>54</v>
      </c>
      <c r="B29" s="7" t="s">
        <v>63</v>
      </c>
      <c r="C29" s="7" t="s">
        <v>4</v>
      </c>
      <c r="D29" s="8" t="s">
        <v>55</v>
      </c>
    </row>
    <row r="30" spans="1:11" ht="31.2" x14ac:dyDescent="0.3">
      <c r="A30" s="5" t="s">
        <v>50</v>
      </c>
      <c r="B30" s="5" t="s">
        <v>64</v>
      </c>
      <c r="C30" s="9" t="s">
        <v>57</v>
      </c>
      <c r="D30" s="8" t="s">
        <v>56</v>
      </c>
    </row>
    <row r="31" spans="1:11" ht="31.2" x14ac:dyDescent="0.3">
      <c r="A31" s="5" t="s">
        <v>51</v>
      </c>
      <c r="B31" s="5" t="s">
        <v>65</v>
      </c>
      <c r="C31" s="5" t="s">
        <v>57</v>
      </c>
      <c r="D31" s="5" t="s">
        <v>58</v>
      </c>
    </row>
    <row r="32" spans="1:11" ht="31.2" x14ac:dyDescent="0.3">
      <c r="A32" s="5" t="s">
        <v>52</v>
      </c>
      <c r="B32" s="5" t="s">
        <v>66</v>
      </c>
      <c r="C32" s="5" t="s">
        <v>57</v>
      </c>
      <c r="D32" s="5" t="s">
        <v>59</v>
      </c>
    </row>
    <row r="33" spans="1:4" ht="31.2" x14ac:dyDescent="0.3">
      <c r="A33" s="6" t="s">
        <v>53</v>
      </c>
      <c r="B33" s="7" t="s">
        <v>67</v>
      </c>
      <c r="C33" s="9" t="s">
        <v>57</v>
      </c>
      <c r="D33" s="8" t="s">
        <v>60</v>
      </c>
    </row>
    <row r="34" spans="1:4" ht="31.2" x14ac:dyDescent="0.3">
      <c r="A34" s="5" t="s">
        <v>68</v>
      </c>
      <c r="B34" s="7" t="s">
        <v>69</v>
      </c>
      <c r="C34" s="7" t="s">
        <v>57</v>
      </c>
      <c r="D34" s="8">
        <v>0</v>
      </c>
    </row>
    <row r="35" spans="1:4" ht="31.2" x14ac:dyDescent="0.3">
      <c r="A35" s="5" t="s">
        <v>61</v>
      </c>
      <c r="B35" s="5" t="s">
        <v>70</v>
      </c>
      <c r="C35" s="9" t="s">
        <v>57</v>
      </c>
      <c r="D35" s="8">
        <v>0</v>
      </c>
    </row>
    <row r="36" spans="1:4" ht="62.4" x14ac:dyDescent="0.3">
      <c r="A36" s="7" t="s">
        <v>72</v>
      </c>
      <c r="B36" s="9" t="s">
        <v>73</v>
      </c>
      <c r="C36" s="8" t="s">
        <v>74</v>
      </c>
      <c r="D36" s="7" t="s">
        <v>75</v>
      </c>
    </row>
    <row r="37" spans="1:4" ht="31.2" x14ac:dyDescent="0.3">
      <c r="A37" s="5" t="s">
        <v>62</v>
      </c>
      <c r="B37" s="5" t="s">
        <v>71</v>
      </c>
      <c r="C37" s="5"/>
      <c r="D37" s="5" t="s">
        <v>76</v>
      </c>
    </row>
  </sheetData>
  <hyperlinks>
    <hyperlink ref="E4" r:id="rId1" xr:uid="{1434EB79-EC0F-4C5C-B1AA-00AC0FBB54F8}"/>
    <hyperlink ref="E5" r:id="rId2" xr:uid="{4C781D33-0DFD-45EA-B816-5F53270B48EF}"/>
    <hyperlink ref="E7" r:id="rId3" xr:uid="{53F9E880-E7E3-4772-A8B9-73BBD01FDF75}"/>
    <hyperlink ref="E15" r:id="rId4" xr:uid="{210B6AE3-7DA1-48BF-B04D-7E779859714E}"/>
    <hyperlink ref="E14" r:id="rId5" location="tab-description" xr:uid="{DB42EDB9-916B-4907-9FFF-970943641A7A}"/>
    <hyperlink ref="E16" r:id="rId6" xr:uid="{708E3349-5A29-40E8-989A-F2474FAB26CE}"/>
    <hyperlink ref="E6" r:id="rId7" xr:uid="{DBD52C30-91AD-4D25-90BA-FC6DA0F82EB9}"/>
    <hyperlink ref="E9" r:id="rId8" xr:uid="{3A94922C-9E09-4D2E-8265-37167241F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Prachita Devadiga</dc:creator>
  <cp:lastModifiedBy>Aryan Laishetty</cp:lastModifiedBy>
  <dcterms:created xsi:type="dcterms:W3CDTF">2026-04-04T13:17:02Z</dcterms:created>
  <dcterms:modified xsi:type="dcterms:W3CDTF">2026-04-11T05:50:10Z</dcterms:modified>
</cp:coreProperties>
</file>